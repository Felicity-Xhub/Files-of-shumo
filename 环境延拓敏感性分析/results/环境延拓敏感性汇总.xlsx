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ace3292b0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460a39f8db8c43a8"/>
    <x:sheet xmlns:r="http://schemas.openxmlformats.org/officeDocument/2006/relationships" name="情景依据" sheetId="2" r:id="R449652dfdb07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000000"/>
    <x:numFmt numFmtId="202" formatCode="0.0000%"/>
  </x:numFmts>
  <x:fonts count="6">
    <x:font>
      <x:sz val="11"/>
      <x:name val="Carlito"/>
    </x:font>
    <x:font>
      <x:b/>
      <x:sz val="15"/>
      <x:color rgb="FF1F1F1F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F1F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FCE4D6"/>
      </x:patternFill>
    </x:fill>
    <x:fill>
      <x:patternFill patternType="solid">
        <x:fgColor rgb="FFD9E2F3"/>
      </x:patternFill>
    </x:fill>
    <x:fill>
      <x:patternFill patternType="solid">
        <x:fgColor rgb="FF4472C4"/>
      </x:patternFill>
    </x:fill>
  </x:fills>
  <x:borders count="3">
    <x:border/>
    <x:border>
      <x:bottom style="thin">
        <x:color rgb="FFFFFFFF"/>
      </x:bottom>
    </x:border>
    <x:border>
      <x:bottom style="hair">
        <x:color rgb="FFD9D9D9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972d17aa2452c" /><Relationship Type="http://schemas.openxmlformats.org/officeDocument/2006/relationships/theme" Target="/xl/theme/theme1.xml" Id="Re50d58069b084ff7" /><Relationship Type="http://schemas.openxmlformats.org/officeDocument/2006/relationships/sharedStrings" Target="/xl/sharedStrings.xml" Id="Re0eab5ee81e4422d" /><Relationship Type="http://schemas.openxmlformats.org/officeDocument/2006/relationships/worksheet" Target="/xl/worksheets/sheet1.xml" Id="R460a39f8db8c43a8" /><Relationship Type="http://schemas.openxmlformats.org/officeDocument/2006/relationships/worksheet" Target="/xl/worksheets/sheet2.xml" Id="R449652dfdb074e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3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3" max="13" width="22" hidden="0" customWidth="1"/>
  </x:cols>
  <x:sheetData>
    <x:row r="1" ht="9" customHeight="1"/>
    <x:row r="2">
      <x:c r="A2" s="1" t="str">
        <x:v>4小时后环境延拓对第三、四问干燥时间的影响</x:v>
      </x:c>
    </x:row>
    <x:row r="3" ht="19" customHeight="1">
      <x:c r="A3" s="2" t="str">
        <x:v>前4小时使用附件原始环境数据及线性插值；4小时处分段积分。S2、S3是人工组合情景，不代表概率、置信区间或严格最坏情况。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19" customHeight="1">
      <x:c r="A4" s="2" t="str">
        <x:v>第四问：给定收缩曲线条件下的边界情景分析；半径仅使用附件2的0–72 h观测范围，不作范围外外推。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6" ht="34" customHeight="1">
      <x:c r="A6" s="8" t="str">
        <x:v>情景</x:v>
      </x:c>
      <x:c r="B6" s="8" t="str">
        <x:v>4 h后温度/°C</x:v>
      </x:c>
      <x:c r="C6" s="8" t="str">
        <x:v>4 h后环境水分/(kg/kg)</x:v>
      </x:c>
      <x:c r="D6" s="8" t="str">
        <x:v>第三问状态</x:v>
      </x:c>
      <x:c r="E6" s="8" t="str">
        <x:v>第三问临界时间/h</x:v>
      </x:c>
      <x:c r="F6" s="8" t="str">
        <x:v>较S0差值/h</x:v>
      </x:c>
      <x:c r="G6" s="8" t="str">
        <x:v>较S0差值/%</x:v>
      </x:c>
      <x:c r="H6" s="8" t="str">
        <x:v>第三问72 h最大含水率</x:v>
      </x:c>
      <x:c r="I6" s="8" t="str">
        <x:v>第四问状态</x:v>
      </x:c>
      <x:c r="J6" s="8" t="str">
        <x:v>第四问临界时间/h</x:v>
      </x:c>
      <x:c r="K6" s="8" t="str">
        <x:v>较S0差值/h</x:v>
      </x:c>
      <x:c r="L6" s="8" t="str">
        <x:v>较S0差值/%</x:v>
      </x:c>
      <x:c r="M6" s="8" t="str">
        <x:v>第四问72 h最大含水率</x:v>
      </x:c>
    </x:row>
    <x:row r="7" ht="23" customHeight="1">
      <x:c r="A7" s="11" t="str">
        <x:v>S0</x:v>
      </x:c>
      <x:c r="B7" s="14" t="n">
        <x:v>50.16500000000002</x:v>
      </x:c>
      <x:c r="C7" s="16" t="n">
        <x:v>0.04986</x:v>
      </x:c>
      <x:c r="D7" s="11" t="str">
        <x:v>达到阈值</x:v>
      </x:c>
      <x:c r="E7" s="14" t="n">
        <x:v>57.18363299569869</x:v>
      </x:c>
      <x:c r="F7" s="14" t="n">
        <x:f>E7-$E$7</x:f>
        <x:v>0</x:v>
      </x:c>
      <x:c r="G7" s="18" t="n">
        <x:f>F7/$E$7</x:f>
        <x:v>0</x:v>
      </x:c>
      <x:c r="H7" s="14"/>
      <x:c r="I7" s="11" t="str">
        <x:v>达到阈值</x:v>
      </x:c>
      <x:c r="J7" s="14" t="n">
        <x:v>50.82611053932577</x:v>
      </x:c>
      <x:c r="K7" s="14" t="n">
        <x:f>J7-$J$7</x:f>
        <x:v>0</x:v>
      </x:c>
      <x:c r="L7" s="18" t="n">
        <x:f>K7/$J$7</x:f>
        <x:v>0</x:v>
      </x:c>
      <x:c r="M7" s="14"/>
    </x:row>
    <x:row r="8" ht="23" customHeight="1">
      <x:c r="A8" s="11" t="str">
        <x:v>S1</x:v>
      </x:c>
      <x:c r="B8" s="14" t="n">
        <x:v>49.998934426229596</x:v>
      </x:c>
      <x:c r="C8" s="16" t="n">
        <x:v>0.049987540983606554</x:v>
      </x:c>
      <x:c r="D8" s="11" t="str">
        <x:v>达到阈值</x:v>
      </x:c>
      <x:c r="E8" s="14" t="n">
        <x:v>57.488138749154494</x:v>
      </x:c>
      <x:c r="F8" s="14" t="n">
        <x:f>E8-$E$7</x:f>
        <x:v>0.3045057534558069</x:v>
      </x:c>
      <x:c r="G8" s="18" t="n">
        <x:f>F8/$E$7</x:f>
        <x:v>0.005325050849404962</x:v>
      </x:c>
      <x:c r="H8" s="14"/>
      <x:c r="I8" s="11" t="str">
        <x:v>达到阈值</x:v>
      </x:c>
      <x:c r="J8" s="14" t="n">
        <x:v>51.09390989335482</x:v>
      </x:c>
      <x:c r="K8" s="14" t="n">
        <x:f>J8-$J$7</x:f>
        <x:v>0.26779935402905153</x:v>
      </x:c>
      <x:c r="L8" s="18" t="n">
        <x:f>K8/$J$7</x:f>
        <x:v>0.0052689326644785595</x:v>
      </x:c>
      <x:c r="M8" s="14"/>
    </x:row>
    <x:row r="9" ht="23" customHeight="1">
      <x:c r="A9" s="12" t="str">
        <x:v>S2</x:v>
      </x:c>
      <x:c r="B9" s="15" t="n">
        <x:v>49.844581057963524</x:v>
      </x:c>
      <x:c r="C9" s="17" t="n">
        <x:v>0.05013767043594358</x:v>
      </x:c>
      <x:c r="D9" s="12" t="str">
        <x:v>达到阈值</x:v>
      </x:c>
      <x:c r="E9" s="15" t="n">
        <x:v>57.77373703680377</x:v>
      </x:c>
      <x:c r="F9" s="15" t="n">
        <x:f>E9-$E$7</x:f>
        <x:v>0.5901040411050857</x:v>
      </x:c>
      <x:c r="G9" s="19" t="n">
        <x:f>F9/$E$7</x:f>
        <x:v>0.010319456987797068</x:v>
      </x:c>
      <x:c r="H9" s="15"/>
      <x:c r="I9" s="12" t="str">
        <x:v>达到阈值</x:v>
      </x:c>
      <x:c r="J9" s="15" t="n">
        <x:v>51.34528871418568</x:v>
      </x:c>
      <x:c r="K9" s="15" t="n">
        <x:f>J9-$J$7</x:f>
        <x:v>0.5191781748599098</x:v>
      </x:c>
      <x:c r="L9" s="19" t="n">
        <x:f>K9/$J$7</x:f>
        <x:v>0.010214792541683969</x:v>
      </x:c>
      <x:c r="M9" s="15"/>
    </x:row>
    <x:row r="10" ht="23" customHeight="1">
      <x:c r="A10" s="24" t="str">
        <x:v>S3</x:v>
      </x:c>
      <x:c r="B10" s="25" t="n">
        <x:v>50.15328779449567</x:v>
      </x:c>
      <x:c r="C10" s="26" t="n">
        <x:v>0.049837411531269526</x:v>
      </x:c>
      <x:c r="D10" s="24" t="str">
        <x:v>达到阈值</x:v>
      </x:c>
      <x:c r="E10" s="25" t="n">
        <x:v>57.20449506849939</x:v>
      </x:c>
      <x:c r="F10" s="25" t="n">
        <x:f>E10-$E$7</x:f>
        <x:v>0.020862072800703402</x:v>
      </x:c>
      <x:c r="G10" s="27" t="n">
        <x:f>F10/$E$7</x:f>
        <x:v>0.0003648259424558183</x:v>
      </x:c>
      <x:c r="H10" s="25"/>
      <x:c r="I10" s="24" t="str">
        <x:v>达到阈值</x:v>
      </x:c>
      <x:c r="J10" s="25" t="n">
        <x:v>50.84424206947023</x:v>
      </x:c>
      <x:c r="K10" s="25" t="n">
        <x:f>J10-$J$7</x:f>
        <x:v>0.018131530144465557</x:v>
      </x:c>
      <x:c r="L10" s="27" t="n">
        <x:f>K10/$J$7</x:f>
        <x:v>0.00035673652679830026</x:v>
      </x:c>
      <x:c r="M10" s="25"/>
    </x:row>
    <x:row r="13">
      <x:c r="A13" s="21" t="str">
        <x:v>统一计算设置</x:v>
      </x:c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</x:row>
    <x:row r="14" ht="22" customHeight="1">
      <x:c r="A14" s="22" t="str">
        <x:v>第三问网格</x:v>
      </x:c>
      <x:c r="B14" s="23" t="str">
        <x:v>1281节点；Δr=0.0015625 cm</x:v>
      </x:c>
    </x:row>
    <x:row r="15" ht="22" customHeight="1">
      <x:c r="A15" s="22" t="str">
        <x:v>第四问网格</x:v>
      </x:c>
      <x:c r="B15" s="23" t="str">
        <x:v>1281节点；1280个归一化区间</x:v>
      </x:c>
    </x:row>
    <x:row r="16" ht="30" customHeight="1">
      <x:c r="A16" s="22" t="str">
        <x:v>时间求解</x:v>
      </x:c>
      <x:c r="B16" s="23" t="str">
        <x:v>BDF；rtol=1e-9；atol=1e-11；最大步长60 s</x:v>
      </x:c>
    </x:row>
    <x:row r="17" ht="30" customHeight="1">
      <x:c r="A17" s="22" t="str">
        <x:v>临界事件</x:v>
      </x:c>
      <x:c r="B17" s="23" t="str">
        <x:v>全计算节点最大含水率从上向下穿越0.15</x:v>
      </x:c>
    </x:row>
    <x:row r="18" ht="30" customHeight="1">
      <x:c r="A18" s="22" t="str">
        <x:v>72 h最大含水率</x:v>
      </x:c>
      <x:c r="B18" s="23" t="str">
        <x:v>仅未达标时填写；本次四个情景均达标，故对应单元格为空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70" hidden="0" customWidth="1"/>
    <x:col min="3" max="3" width="25" hidden="0" customWidth="1"/>
    <x:col min="4" max="4" width="58" hidden="0" customWidth="1"/>
  </x:cols>
  <x:sheetData>
    <x:row r="1" ht="9" customHeight="1"/>
    <x:row r="2">
      <x:c r="A2" s="1" t="str">
        <x:v>情景定义与统计口径</x:v>
      </x:c>
    </x:row>
    <x:row r="4">
      <x:c r="A4" s="30" t="str">
        <x:v>统计项目</x:v>
      </x:c>
      <x:c r="B4" s="30" t="str">
        <x:v>采用值/说明</x:v>
      </x:c>
    </x:row>
    <x:row r="5">
      <x:c r="A5" s="10" t="str">
        <x:v>时间范围</x:v>
      </x:c>
      <x:c r="B5" s="10" t="str">
        <x:v>[3, 4] h（[10800, 14400] s）</x:v>
      </x:c>
    </x:row>
    <x:row r="6">
      <x:c r="A6" s="10" t="str">
        <x:v>端点处理</x:v>
      </x:c>
      <x:c r="B6" s="10" t="str">
        <x:v>两端均包含；按附件原始60 s观测点逐点统计</x:v>
      </x:c>
    </x:row>
    <x:row r="7">
      <x:c r="A7" s="10" t="str">
        <x:v>样本数</x:v>
      </x:c>
      <x:c r="B7" s="10" t="n">
        <x:v>61</x:v>
      </x:c>
    </x:row>
    <x:row r="8">
      <x:c r="A8" s="10" t="str">
        <x:v>末小时温度均值/°C</x:v>
      </x:c>
      <x:c r="B8" s="14" t="n">
        <x:v>49.998934426229596</x:v>
      </x:c>
    </x:row>
    <x:row r="9">
      <x:c r="A9" s="10" t="str">
        <x:v>末小时温度样本标准差/°C</x:v>
      </x:c>
      <x:c r="B9" s="14" t="n">
        <x:v>0.15435336826607612</x:v>
      </x:c>
    </x:row>
    <x:row r="10">
      <x:c r="A10" s="10" t="str">
        <x:v>末小时环境水分均值/(kg/kg)</x:v>
      </x:c>
      <x:c r="B10" s="16" t="n">
        <x:v>0.049987540983606554</x:v>
      </x:c>
    </x:row>
    <x:row r="11">
      <x:c r="A11" s="10" t="str">
        <x:v>末小时环境水分样本标准差/(kg/kg)</x:v>
      </x:c>
      <x:c r="B11" s="16" t="n">
        <x:v>0.00015012945233702923</x:v>
      </x:c>
    </x:row>
    <x:row r="12">
      <x:c r="A12" s="10" t="str">
        <x:v>4 h末次温度/°C</x:v>
      </x:c>
      <x:c r="B12" s="16" t="n">
        <x:v>50.16500000000002</x:v>
      </x:c>
    </x:row>
    <x:row r="13">
      <x:c r="A13" s="10" t="str">
        <x:v>4 h末次环境水分/(kg/kg)</x:v>
      </x:c>
      <x:c r="B13" s="16" t="n">
        <x:v>0.04986</x:v>
      </x:c>
    </x:row>
    <x:row r="16">
      <x:c r="A16" s="31" t="str">
        <x:v>情景</x:v>
      </x:c>
      <x:c r="B16" s="31" t="str">
        <x:v>4 h后温度/°C</x:v>
      </x:c>
      <x:c r="C16" s="31" t="str">
        <x:v>4 h后环境水分/(kg/kg)</x:v>
      </x:c>
      <x:c r="D16" s="31" t="str">
        <x:v>定义</x:v>
      </x:c>
    </x:row>
    <x:row r="17" ht="24" customHeight="1">
      <x:c r="A17" s="10" t="str">
        <x:v>S0</x:v>
      </x:c>
      <x:c r="B17" s="14" t="n">
        <x:v>50.16500000000002</x:v>
      </x:c>
      <x:c r="C17" s="16" t="n">
        <x:v>0.04986</x:v>
      </x:c>
      <x:c r="D17" s="23" t="str">
        <x:v>保持4小时末次观测值</x:v>
      </x:c>
    </x:row>
    <x:row r="18" ht="24" customHeight="1">
      <x:c r="A18" s="10" t="str">
        <x:v>S1</x:v>
      </x:c>
      <x:c r="B18" s="14" t="n">
        <x:v>49.998934426229596</x:v>
      </x:c>
      <x:c r="C18" s="16" t="n">
        <x:v>0.049987540983606554</x:v>
      </x:c>
      <x:c r="D18" s="23" t="str">
        <x:v>保持末1小时观测均值</x:v>
      </x:c>
    </x:row>
    <x:row r="19" ht="24" customHeight="1">
      <x:c r="A19" s="10" t="str">
        <x:v>S2</x:v>
      </x:c>
      <x:c r="B19" s="14" t="n">
        <x:v>49.844581057963524</x:v>
      </x:c>
      <x:c r="C19" s="16" t="n">
        <x:v>0.05013767043594358</x:v>
      </x:c>
      <x:c r="D19" s="23" t="str">
        <x:v>温度均值-1个样本标准差，环境水分均值+1个样本标准差</x:v>
      </x:c>
    </x:row>
    <x:row r="20" ht="24" customHeight="1">
      <x:c r="A20" s="10" t="str">
        <x:v>S3</x:v>
      </x:c>
      <x:c r="B20" s="14" t="n">
        <x:v>50.15328779449567</x:v>
      </x:c>
      <x:c r="C20" s="16" t="n">
        <x:v>0.049837411531269526</x:v>
      </x:c>
      <x:c r="D20" s="23" t="str">
        <x:v>温度均值+1个样本标准差，环境水分均值-1个样本标准差</x:v>
      </x:c>
    </x:row>
    <x:row r="23" ht="34" customHeight="1">
      <x:c r="A23" s="32" t="str">
        <x:v>积分分段</x:v>
      </x:c>
      <x:c r="B23" s="23" t="str">
        <x:v>0至4小时采用附件原始环境数据及线性插值；4小时状态作为各情景后段积分的共同初值，边界跳变在分段处显式处理。</x:v>
      </x:c>
    </x:row>
    <x:row r="24" ht="34" customHeight="1">
      <x:c r="A24" s="32" t="str">
        <x:v>临界判据</x:v>
      </x:c>
      <x:c r="B24" s="23" t="str">
        <x:v>临界时间由全计算节点最大含水率从上向下穿越0.15的终止事件确定。</x:v>
      </x:c>
    </x:row>
    <x:row r="25" ht="34" customHeight="1">
      <x:c r="A25" s="32" t="str">
        <x:v>第四问范围</x:v>
      </x:c>
      <x:c r="B25" s="23" t="str">
        <x:v>给定收缩曲线条件下的边界情景分析</x:v>
      </x:c>
    </x:row>
    <x:row r="26" ht="34" customHeight="1">
      <x:c r="A26" s="32" t="str">
        <x:v>收缩曲线边界</x:v>
      </x:c>
      <x:c r="B26" s="23" t="str">
        <x:v>附件2数据覆盖至72 h，未作范围外外推</x:v>
      </x:c>
    </x:row>
    <x:row r="27" ht="34" customHeight="1">
      <x:c r="A27" s="32" t="str">
        <x:v>情景解释</x:v>
      </x:c>
      <x:c r="B27" s="23" t="str">
        <x:v>S2、S3为人工组合的情景扰动，不代表实际发生概率、置信区间或严格最坏情况。</x:v>
      </x:c>
    </x:row>
  </x:sheetData>
  <x:pageMargins left="0.7" right="0.7" top="0.75" bottom="0.75" header="0.3" footer="0.3"/>
</x:worksheet>
</file>